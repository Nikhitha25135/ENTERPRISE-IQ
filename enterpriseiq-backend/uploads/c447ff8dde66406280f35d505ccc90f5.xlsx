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3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<sst xmlns="http://schemas.openxmlformats.org/spreadsheetml/2006/main" count="15" uniqueCount="15">
  <si>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Northwind Robotics Inc. — Q3 FY2026 Departmental Budget</t>
  </si>
  <si>
    <t xml:space="preserve">Department</t>
  </si>
  <si>
    <t xml:space="preserve">Budgeted ($)</t>
  </si>
  <si>
    <t xml:space="preserve">Actual Spend ($)</t>
  </si>
  <si>
    <t xml:space="preserve">Variance ($)</t>
  </si>
  <si>
    <t xml:space="preserve">% Utilized</t>
  </si>
  <si>
    <t xml:space="preserve">Engineering</t>
  </si>
  <si>
    <t xml:space="preserve">Sales</t>
  </si>
  <si>
    <t xml:space="preserve">Marketing</t>
  </si>
  <si>
    <t xml:space="preserve">HR</t>
  </si>
  <si>
    <t xml:space="preserve">Legal</t>
  </si>
  <si>
    <t xml:space="preserve">Finance</t>
  </si>
  <si>
    <t xml:space="preserve">Customer Success</t>
  </si>
  <si>
    <t xml:space="preserve">Total</t>
  </si>
  <si>
    <t xml:space="preserve">Note: Sales and Customer Success exceeded budget in Q3 due to accelerated hiring; see Finance memo FIN-2026-014.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</si>
</sst>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v>1200000</v>
      </c>
      <c r="C4" s="4" t="n">
        <v>1145000</v>
      </c>
      <c r="D4" s="4" t="n">
        <f aca="false">B4-C4</f>
        <v>55000</v>
      </c>
      <c r="E4" s="5" t="n">
        <f aca="false">C4/B4</f>
        <v>0.954166666666667</v>
      </c>
    </row>
    <row r="5" customFormat="false" ht="15" hidden="false" customHeight="false" outlineLevel="0" collapsed="false">
      <c r="A5" s="3" t="s">
        <v>7</v>
      </c>
      <c r="B5" s="4" t="n">
        <v>850000</v>
      </c>
      <c r="C5" s="4" t="n">
        <v>910000</v>
      </c>
      <c r="D5" s="4" t="n">
        <f aca="false">B5-C5</f>
        <v>-60000</v>
      </c>
      <c r="E5" s="5" t="n">
        <f aca="false">C5/B5</f>
        <v>1.07058823529412</v>
      </c>
    </row>
    <row r="6" customFormat="false" ht="15" hidden="false" customHeight="false" outlineLevel="0" collapsed="false">
      <c r="A6" s="3" t="s">
        <v>8</v>
      </c>
      <c r="B6" s="4" t="n">
        <v>400000</v>
      </c>
      <c r="C6" s="4" t="n">
        <v>375000</v>
      </c>
      <c r="D6" s="4" t="n">
        <f aca="false">B6-C6</f>
        <v>25000</v>
      </c>
      <c r="E6" s="5" t="n">
        <f aca="false">C6/B6</f>
        <v>0.9375</v>
      </c>
    </row>
    <row r="7" customFormat="false" ht="15" hidden="false" customHeight="false" outlineLevel="0" collapsed="false">
      <c r="A7" s="3" t="s">
        <v>9</v>
      </c>
      <c r="B7" s="4" t="n">
        <v>220000</v>
      </c>
      <c r="C7" s="4" t="n">
        <v>198000</v>
      </c>
      <c r="D7" s="4" t="n">
        <f aca="false">B7-C7</f>
        <v>22000</v>
      </c>
      <c r="E7" s="5" t="n">
        <f aca="false">C7/B7</f>
        <v>0.9</v>
      </c>
    </row>
    <row r="8" customFormat="false" ht="15" hidden="false" customHeight="false" outlineLevel="0" collapsed="false">
      <c r="A8" s="3" t="s">
        <v>10</v>
      </c>
      <c r="B8" s="4" t="n">
        <v>180000</v>
      </c>
      <c r="C8" s="4" t="n">
        <v>165000</v>
      </c>
      <c r="D8" s="4" t="n">
        <f aca="false">B8-C8</f>
        <v>15000</v>
      </c>
      <c r="E8" s="5" t="n">
        <f aca="false">C8/B8</f>
        <v>0.916666666666667</v>
      </c>
    </row>
    <row r="9" customFormat="false" ht="15" hidden="false" customHeight="false" outlineLevel="0" collapsed="false">
      <c r="A9" s="3" t="s">
        <v>11</v>
      </c>
      <c r="B9" s="4" t="n">
        <v>150000</v>
      </c>
      <c r="C9" s="4" t="n">
        <v>142000</v>
      </c>
      <c r="D9" s="4" t="n">
        <f aca="false">B9-C9</f>
        <v>8000</v>
      </c>
      <c r="E9" s="5" t="n">
        <f aca="false">C9/B9</f>
        <v>0.946666666666667</v>
      </c>
    </row>
    <row r="10" customFormat="false" ht="15" hidden="false" customHeight="false" outlineLevel="0" collapsed="false">
      <c r="A10" s="3" t="s">
        <v>12</v>
      </c>
      <c r="B10" s="4" t="n">
        <v>300000</v>
      </c>
      <c r="C10" s="4" t="n">
        <v>305000</v>
      </c>
      <c r="D10" s="4" t="n">
        <f aca="false">B10-C10</f>
        <v>-5000</v>
      </c>
      <c r="E10" s="5" t="n">
        <f aca="false">C10/B10</f>
        <v>1.01666666666667</v>
      </c>
    </row>
    <row r="11" customFormat="false" ht="15" hidden="false" customHeight="false" outlineLevel="0" collapsed="false">
      <c r="A11" s="6" t="s">
        <v>13</v>
      </c>
      <c r="B11" s="7" t="n">
        <f aca="false">SUM(B4:B10)</f>
        <v>3300000</v>
      </c>
      <c r="C11" s="7" t="n">
        <f aca="false">SUM(C4:C10)</f>
        <v>3240000</v>
      </c>
      <c r="D11" s="7" t="n">
        <f aca="false">B11-C11</f>
        <v>60000</v>
      </c>
      <c r="E11" s="8" t="n">
        <f aca="false">C11/B11</f>
        <v>0.981818181818182</v>
      </c>
    </row>
    <row r="13" customFormat="false" ht="15" hidden="false" customHeight="false" outlineLevel="0" collapsed="false">
      <c r="A13" s="9" t="s">
        <v>14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2026-07-17T15:58:00Z</dcterms:created>
  <dc:creator>openpyxl</dc:creator>
  <dc:description/>
  <dc:language>en-US</dc:language>
  <cp:lastModifiedBy/>
  <dcterms:modified xsi:type="dcterms:W3CDTF">2026-07-17T15:58:00Z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